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ariableInventory" displayName="VariableInventory" ref="A5:G51" headerRowCount="1">
  <autoFilter ref="A5:G51"/>
  <tableColumns count="7">
    <tableColumn id="1" name="Variable"/>
    <tableColumn id="2" name="Used In"/>
    <tableColumn id="3" name="Available?"/>
    <tableColumn id="4" name="Source"/>
    <tableColumn id="5" name="Database Field"/>
    <tableColumn id="6" name="Service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22" customWidth="1" min="4" max="4"/>
    <col width="42" customWidth="1" min="5" max="5"/>
    <col width="30" customWidth="1" min="6" max="6"/>
    <col width="48" customWidth="1" min="7" max="7"/>
  </cols>
  <sheetData>
    <row r="1">
      <c r="A1" s="1" t="inlineStr">
        <is>
          <t>Analytics Variable Inventory</t>
        </is>
      </c>
    </row>
    <row r="2" ht="30" customHeight="1">
      <c r="A2" s="2" t="inlineStr">
        <is>
          <t>Master inventory of variables required by the analytics formulas (Artist Popularity V2, CMAS, Demand Score, Revenue Prediction, Risk Score, Confidence Score). Compiled from a codebase audit — not yet cross-checked against original formula specification documents.</t>
        </is>
      </c>
    </row>
    <row r="3">
      <c r="A3" s="3" t="inlineStr">
        <is>
          <t>Legend:  ✅ Available   ⚠️ Partial (exists but incomplete/unreliable)   ❌ Missing   ❌ External API (needs a live external service)</t>
        </is>
      </c>
    </row>
    <row r="5">
      <c r="A5" s="4" t="inlineStr">
        <is>
          <t>Variable</t>
        </is>
      </c>
      <c r="B5" s="4" t="inlineStr">
        <is>
          <t>Used In</t>
        </is>
      </c>
      <c r="C5" s="4" t="inlineStr">
        <is>
          <t>Available?</t>
        </is>
      </c>
      <c r="D5" s="4" t="inlineStr">
        <is>
          <t>Source</t>
        </is>
      </c>
      <c r="E5" s="4" t="inlineStr">
        <is>
          <t>Database Field</t>
        </is>
      </c>
      <c r="F5" s="4" t="inlineStr">
        <is>
          <t>Service</t>
        </is>
      </c>
      <c r="G5" s="4" t="inlineStr">
        <is>
          <t>Notes</t>
        </is>
      </c>
    </row>
    <row r="6" ht="30" customHeight="1">
      <c r="A6" s="5" t="inlineStr">
        <is>
          <t>Spotify Monthly Listeners (Viberate)</t>
        </is>
      </c>
      <c r="B6" s="5" t="inlineStr">
        <is>
          <t>Popularity V2</t>
        </is>
      </c>
      <c r="C6" s="6" t="inlineStr">
        <is>
          <t>✅</t>
        </is>
      </c>
      <c r="D6" s="5" t="inlineStr">
        <is>
          <t>Viberate</t>
        </is>
      </c>
      <c r="E6" s="5" t="inlineStr">
        <is>
          <t>viberate_metrics_daily.totalValue (metricName=spotify_listeners)</t>
        </is>
      </c>
      <c r="F6" s="5" t="inlineStr">
        <is>
          <t>collector.ts / scorer.ts</t>
        </is>
      </c>
      <c r="G6" s="5" t="inlineStr">
        <is>
          <t>Latest total, log1p-transformed + entropy-weighted in Layer 1</t>
        </is>
      </c>
    </row>
    <row r="7" ht="30" customHeight="1">
      <c r="A7" s="5" t="inlineStr">
        <is>
          <t>YouTube Subscribers (Viberate)</t>
        </is>
      </c>
      <c r="B7" s="5" t="inlineStr">
        <is>
          <t>Popularity V2</t>
        </is>
      </c>
      <c r="C7" s="6" t="inlineStr">
        <is>
          <t>✅</t>
        </is>
      </c>
      <c r="D7" s="5" t="inlineStr">
        <is>
          <t>Viberate</t>
        </is>
      </c>
      <c r="E7" s="5" t="inlineStr">
        <is>
          <t>viberate_metrics_daily.totalValue (metricName=youtube_subscribers)</t>
        </is>
      </c>
      <c r="F7" s="5" t="inlineStr">
        <is>
          <t>collector.ts / scorer.ts</t>
        </is>
      </c>
      <c r="G7" s="5" t="inlineStr"/>
    </row>
    <row r="8" ht="30" customHeight="1">
      <c r="A8" s="5" t="inlineStr">
        <is>
          <t>Instagram Followers (Viberate)</t>
        </is>
      </c>
      <c r="B8" s="5" t="inlineStr">
        <is>
          <t>Popularity V2</t>
        </is>
      </c>
      <c r="C8" s="6" t="inlineStr">
        <is>
          <t>✅</t>
        </is>
      </c>
      <c r="D8" s="5" t="inlineStr">
        <is>
          <t>Viberate</t>
        </is>
      </c>
      <c r="E8" s="5" t="inlineStr">
        <is>
          <t>viberate_metrics_daily.totalValue (metricName=instagram_followers)</t>
        </is>
      </c>
      <c r="F8" s="5" t="inlineStr">
        <is>
          <t>collector.ts / scorer.ts</t>
        </is>
      </c>
      <c r="G8" s="5" t="inlineStr"/>
    </row>
    <row r="9" ht="30" customHeight="1">
      <c r="A9" s="5" t="inlineStr">
        <is>
          <t>Instagram Likes (30d diff sum)</t>
        </is>
      </c>
      <c r="B9" s="5" t="inlineStr">
        <is>
          <t>Popularity V2</t>
        </is>
      </c>
      <c r="C9" s="6" t="inlineStr">
        <is>
          <t>⚠️ Partial</t>
        </is>
      </c>
      <c r="D9" s="5" t="inlineStr">
        <is>
          <t>Viberate</t>
        </is>
      </c>
      <c r="E9" s="5" t="inlineStr">
        <is>
          <t>viberate_metrics_daily.diffValue (metricName=instagram_likes)</t>
        </is>
      </c>
      <c r="F9" s="5" t="inlineStr">
        <is>
          <t>collector.ts / engagement.service.ts</t>
        </is>
      </c>
      <c r="G9" s="5" t="inlineStr">
        <is>
          <t>Missing for artists with no Viberate IG data (e.g. Aparshakti Khurana)</t>
        </is>
      </c>
    </row>
    <row r="10" ht="30" customHeight="1">
      <c r="A10" s="5" t="inlineStr">
        <is>
          <t>Instagram Comments (30d diff sum)</t>
        </is>
      </c>
      <c r="B10" s="5" t="inlineStr">
        <is>
          <t>Popularity V2</t>
        </is>
      </c>
      <c r="C10" s="6" t="inlineStr">
        <is>
          <t>⚠️ Partial</t>
        </is>
      </c>
      <c r="D10" s="5" t="inlineStr">
        <is>
          <t>Viberate</t>
        </is>
      </c>
      <c r="E10" s="5" t="inlineStr">
        <is>
          <t>viberate_metrics_daily.diffValue (metricName=instagram_comments)</t>
        </is>
      </c>
      <c r="F10" s="5" t="inlineStr">
        <is>
          <t>collector.ts / engagement.service.ts</t>
        </is>
      </c>
      <c r="G10" s="5" t="inlineStr">
        <is>
          <t>Same per-artist data gap as Instagram Likes</t>
        </is>
      </c>
    </row>
    <row r="11" ht="30" customHeight="1">
      <c r="A11" s="5" t="inlineStr">
        <is>
          <t>YouTube Likes (30d diff sum)</t>
        </is>
      </c>
      <c r="B11" s="5" t="inlineStr">
        <is>
          <t>Popularity V2</t>
        </is>
      </c>
      <c r="C11" s="6" t="inlineStr">
        <is>
          <t>⚠️ Partial</t>
        </is>
      </c>
      <c r="D11" s="5" t="inlineStr">
        <is>
          <t>Viberate</t>
        </is>
      </c>
      <c r="E11" s="5" t="inlineStr">
        <is>
          <t>viberate_metrics_daily.diffValue (metricName=youtube_likes)</t>
        </is>
      </c>
      <c r="F11" s="5" t="inlineStr">
        <is>
          <t>collector.ts / engagement.service.ts</t>
        </is>
      </c>
      <c r="G11" s="5" t="inlineStr">
        <is>
          <t>Same per-artist data gap</t>
        </is>
      </c>
    </row>
    <row r="12" ht="30" customHeight="1">
      <c r="A12" s="5" t="inlineStr">
        <is>
          <t>Google Trends Score (normalized, V2 pipeline)</t>
        </is>
      </c>
      <c r="B12" s="5" t="inlineStr">
        <is>
          <t>Popularity V2</t>
        </is>
      </c>
      <c r="C12" s="6" t="inlineStr">
        <is>
          <t>❌</t>
        </is>
      </c>
      <c r="D12" s="5" t="inlineStr">
        <is>
          <t>Google API</t>
        </is>
      </c>
      <c r="E12" s="5" t="inlineStr">
        <is>
          <t>artist_trend_scores.normalizedScore</t>
        </is>
      </c>
      <c r="F12" s="5" t="inlineStr">
        <is>
          <t>scorer.ts (read-only)</t>
        </is>
      </c>
      <c r="G12" s="5" t="inlineStr">
        <is>
          <t>No service writes to this table in production — scorer.ts always falls back to reach-only scoring</t>
        </is>
      </c>
    </row>
    <row r="13" ht="30" customHeight="1">
      <c r="A13" s="5" t="inlineStr">
        <is>
          <t>Google Trends Score (legacy artist field)</t>
        </is>
      </c>
      <c r="B13" s="5" t="inlineStr">
        <is>
          <t>Popularity (Dashboard fallback)</t>
        </is>
      </c>
      <c r="C13" s="6" t="inlineStr">
        <is>
          <t>⚠️ Partial</t>
        </is>
      </c>
      <c r="D13" s="5" t="inlineStr">
        <is>
          <t>Google API (manual)</t>
        </is>
      </c>
      <c r="E13" s="5" t="inlineStr">
        <is>
          <t>artists.googleTrendsScore</t>
        </is>
      </c>
      <c r="F13" s="5" t="inlineStr">
        <is>
          <t>dashboard.controller.ts</t>
        </is>
      </c>
      <c r="G13" s="5" t="inlineStr">
        <is>
          <t>Populated manually/ad hoc — no live pipeline; separate from V2's artist_trend_scores table</t>
        </is>
      </c>
    </row>
    <row r="14" ht="30" customHeight="1">
      <c r="A14" s="5" t="inlineStr">
        <is>
          <t>Viberate Slug (cohort filter)</t>
        </is>
      </c>
      <c r="B14" s="5" t="inlineStr">
        <is>
          <t>Popularity V2</t>
        </is>
      </c>
      <c r="C14" s="6" t="inlineStr">
        <is>
          <t>✅</t>
        </is>
      </c>
      <c r="D14" s="5" t="inlineStr">
        <is>
          <t>Manual seed</t>
        </is>
      </c>
      <c r="E14" s="5" t="inlineStr">
        <is>
          <t>artists.viberateSlug</t>
        </is>
      </c>
      <c r="F14" s="5" t="inlineStr">
        <is>
          <t>viberate-slugs.ts</t>
        </is>
      </c>
      <c r="G14" s="5" t="inlineStr">
        <is>
          <t>Only 10 artists currently have this set</t>
        </is>
      </c>
    </row>
    <row r="15" ht="30" customHeight="1">
      <c r="A15" s="5" t="inlineStr">
        <is>
          <t>CMAS Composite Score</t>
        </is>
      </c>
      <c r="B15" s="5" t="inlineStr">
        <is>
          <t>CMAS</t>
        </is>
      </c>
      <c r="C15" s="6" t="inlineStr">
        <is>
          <t>❌</t>
        </is>
      </c>
      <c r="D15" s="5" t="inlineStr">
        <is>
          <t>Derived</t>
        </is>
      </c>
      <c r="E15" s="5" t="inlineStr">
        <is>
          <t>none</t>
        </is>
      </c>
      <c r="F15" s="5" t="inlineStr">
        <is>
          <t>none</t>
        </is>
      </c>
      <c r="G15" s="5" t="inlineStr">
        <is>
          <t>No formula, acronym, or output field exists anywhere in the codebase — needs the actual spec</t>
        </is>
      </c>
    </row>
    <row r="16" ht="30" customHeight="1">
      <c r="A16" s="5" t="inlineStr">
        <is>
          <t>City Sell-Through History</t>
        </is>
      </c>
      <c r="B16" s="5" t="inlineStr">
        <is>
          <t>CMAS / Demand</t>
        </is>
      </c>
      <c r="C16" s="6" t="inlineStr">
        <is>
          <t>✅</t>
        </is>
      </c>
      <c r="D16" s="5" t="inlineStr">
        <is>
          <t>Concerts</t>
        </is>
      </c>
      <c r="E16" s="5" t="inlineStr">
        <is>
          <t>concerts.ticketsSold, concerts.capacity</t>
        </is>
      </c>
      <c r="F16" s="5" t="inlineStr">
        <is>
          <t>featureEngineering.service.ts</t>
        </is>
      </c>
      <c r="G16" s="5" t="inlineStr"/>
    </row>
    <row r="17" ht="30" customHeight="1">
      <c r="A17" s="5" t="inlineStr">
        <is>
          <t>Historical Concert Count (artist in city)</t>
        </is>
      </c>
      <c r="B17" s="5" t="inlineStr">
        <is>
          <t>CMAS / Demand</t>
        </is>
      </c>
      <c r="C17" s="6" t="inlineStr">
        <is>
          <t>✅</t>
        </is>
      </c>
      <c r="D17" s="5" t="inlineStr">
        <is>
          <t>Concerts</t>
        </is>
      </c>
      <c r="E17" s="5" t="inlineStr">
        <is>
          <t>concerts (count by artistId + city)</t>
        </is>
      </c>
      <c r="F17" s="5" t="inlineStr">
        <is>
          <t>featureEngineering.service.ts</t>
        </is>
      </c>
      <c r="G17" s="5" t="inlineStr"/>
    </row>
    <row r="18" ht="30" customHeight="1">
      <c r="A18" s="5" t="inlineStr">
        <is>
          <t>Audience Geography %</t>
        </is>
      </c>
      <c r="B18" s="5" t="inlineStr">
        <is>
          <t>CMAS / Demand</t>
        </is>
      </c>
      <c r="C18" s="6" t="inlineStr">
        <is>
          <t>⚠️ Partial</t>
        </is>
      </c>
      <c r="D18" s="5" t="inlineStr">
        <is>
          <t>Demographics</t>
        </is>
      </c>
      <c r="E18" s="5" t="inlineStr">
        <is>
          <t>audience_demographics.percentage (dimension=GEOGRAPHY)</t>
        </is>
      </c>
      <c r="F18" s="5" t="inlineStr">
        <is>
          <t>featureEngineering.service.ts</t>
        </is>
      </c>
      <c r="G18" s="5" t="inlineStr">
        <is>
          <t>Model exists; row population at scale not verified</t>
        </is>
      </c>
    </row>
    <row r="19" ht="30" customHeight="1">
      <c r="A19" s="5" t="inlineStr">
        <is>
          <t>Major-Market City Boost</t>
        </is>
      </c>
      <c r="B19" s="5" t="inlineStr">
        <is>
          <t>CMAS / Demand</t>
        </is>
      </c>
      <c r="C19" s="6" t="inlineStr">
        <is>
          <t>✅</t>
        </is>
      </c>
      <c r="D19" s="5" t="inlineStr">
        <is>
          <t>Derived (hardcoded list)</t>
        </is>
      </c>
      <c r="E19" s="5" t="inlineStr">
        <is>
          <t>none</t>
        </is>
      </c>
      <c r="F19" s="5" t="inlineStr">
        <is>
          <t>featureEngineering.service.ts / concertPipeline.service.ts</t>
        </is>
      </c>
      <c r="G19" s="5" t="inlineStr">
        <is>
          <t>Static ~16-city list duplicated in two files, not data-driven</t>
        </is>
      </c>
    </row>
    <row r="20" ht="30" customHeight="1">
      <c r="A20" s="5" t="inlineStr">
        <is>
          <t>Venue Verified Flag</t>
        </is>
      </c>
      <c r="B20" s="5" t="inlineStr">
        <is>
          <t>CMAS / Demand</t>
        </is>
      </c>
      <c r="C20" s="6" t="inlineStr">
        <is>
          <t>✅</t>
        </is>
      </c>
      <c r="D20" s="5" t="inlineStr">
        <is>
          <t>Venue</t>
        </is>
      </c>
      <c r="E20" s="5" t="inlineStr">
        <is>
          <t>venues.verified</t>
        </is>
      </c>
      <c r="F20" s="5" t="inlineStr">
        <is>
          <t>featureEngineering.service.ts</t>
        </is>
      </c>
      <c r="G20" s="5" t="inlineStr"/>
    </row>
    <row r="21" ht="30" customHeight="1">
      <c r="A21" s="5" t="inlineStr">
        <is>
          <t>Global Popularity (V1)</t>
        </is>
      </c>
      <c r="B21" s="5" t="inlineStr">
        <is>
          <t>Demand</t>
        </is>
      </c>
      <c r="C21" s="6" t="inlineStr">
        <is>
          <t>✅</t>
        </is>
      </c>
      <c r="D21" s="5" t="inlineStr">
        <is>
          <t>Derived</t>
        </is>
      </c>
      <c r="E21" s="5" t="inlineStr">
        <is>
          <t>artists.spotifyMonthlyListeners, youtubeSubscribers, instagramFollowers, facebookFollowers, twitterFollowers</t>
        </is>
      </c>
      <c r="F21" s="5" t="inlineStr">
        <is>
          <t>utils/artistPopularity.ts</t>
        </is>
      </c>
      <c r="G21" s="5" t="inlineStr">
        <is>
          <t>Entropy-weighted V1 formula — Demand Score does not consume V2 snapshots</t>
        </is>
      </c>
    </row>
    <row r="22" ht="30" customHeight="1">
      <c r="A22" s="5" t="inlineStr">
        <is>
          <t>Local Popularity</t>
        </is>
      </c>
      <c r="B22" s="5" t="inlineStr">
        <is>
          <t>Demand</t>
        </is>
      </c>
      <c r="C22" s="6" t="inlineStr">
        <is>
          <t>✅</t>
        </is>
      </c>
      <c r="D22" s="5" t="inlineStr">
        <is>
          <t>Derived</t>
        </is>
      </c>
      <c r="E22" s="5" t="inlineStr">
        <is>
          <t>n/a (computed)</t>
        </is>
      </c>
      <c r="F22" s="5" t="inlineStr">
        <is>
          <t>featureEngineering.service.ts</t>
        </is>
      </c>
      <c r="G22" s="5" t="inlineStr">
        <is>
          <t>Blend of global_popularity + city_demand + artist_momentum</t>
        </is>
      </c>
    </row>
    <row r="23" ht="30" customHeight="1">
      <c r="A23" s="5" t="inlineStr">
        <is>
          <t>Artist Momentum (RoG)</t>
        </is>
      </c>
      <c r="B23" s="5" t="inlineStr">
        <is>
          <t>Demand</t>
        </is>
      </c>
      <c r="C23" s="6" t="inlineStr">
        <is>
          <t>✅</t>
        </is>
      </c>
      <c r="D23" s="5" t="inlineStr">
        <is>
          <t>Platform Metrics</t>
        </is>
      </c>
      <c r="E23" s="5" t="inlineStr">
        <is>
          <t>platform_metrics.rogDaily / rogWeekly / rogMonthly</t>
        </is>
      </c>
      <c r="F23" s="5" t="inlineStr">
        <is>
          <t>sync.ts / featureEngineering.service.ts</t>
        </is>
      </c>
      <c r="G23" s="5" t="inlineStr"/>
    </row>
    <row r="24" ht="30" customHeight="1">
      <c r="A24" s="5" t="inlineStr">
        <is>
          <t>City Demand</t>
        </is>
      </c>
      <c r="B24" s="5" t="inlineStr">
        <is>
          <t>Demand</t>
        </is>
      </c>
      <c r="C24" s="6" t="inlineStr">
        <is>
          <t>✅</t>
        </is>
      </c>
      <c r="D24" s="5" t="inlineStr">
        <is>
          <t>Feature Engineering</t>
        </is>
      </c>
      <c r="E24" s="5" t="inlineStr">
        <is>
          <t>n/a (computed)</t>
        </is>
      </c>
      <c r="F24" s="5" t="inlineStr">
        <is>
          <t>featureEngineering.service.ts</t>
        </is>
      </c>
      <c r="G24" s="5" t="inlineStr"/>
    </row>
    <row r="25" ht="30" customHeight="1">
      <c r="A25" s="5" t="inlineStr">
        <is>
          <t>Venue Performance</t>
        </is>
      </c>
      <c r="B25" s="5" t="inlineStr">
        <is>
          <t>Demand</t>
        </is>
      </c>
      <c r="C25" s="6" t="inlineStr">
        <is>
          <t>✅</t>
        </is>
      </c>
      <c r="D25" s="5" t="inlineStr">
        <is>
          <t>Concerts / Venue</t>
        </is>
      </c>
      <c r="E25" s="5" t="inlineStr">
        <is>
          <t>concerts, venues</t>
        </is>
      </c>
      <c r="F25" s="5" t="inlineStr">
        <is>
          <t>featureEngineering.service.ts</t>
        </is>
      </c>
      <c r="G25" s="5" t="inlineStr">
        <is>
          <t>Falls back to flat 48/58 if no venue history</t>
        </is>
      </c>
    </row>
    <row r="26" ht="30" customHeight="1">
      <c r="A26" s="5" t="inlineStr">
        <is>
          <t>Ticket Pricing Intelligence</t>
        </is>
      </c>
      <c r="B26" s="5" t="inlineStr">
        <is>
          <t>Demand</t>
        </is>
      </c>
      <c r="C26" s="6" t="inlineStr">
        <is>
          <t>⚠️ Partial</t>
        </is>
      </c>
      <c r="D26" s="5" t="inlineStr">
        <is>
          <t>Concerts</t>
        </is>
      </c>
      <c r="E26" s="5" t="inlineStr">
        <is>
          <t>concerts.avgTicketPrice</t>
        </is>
      </c>
      <c r="F26" s="5" t="inlineStr">
        <is>
          <t>featureEngineering.service.ts</t>
        </is>
      </c>
      <c r="G26" s="5" t="inlineStr">
        <is>
          <t>Needs ≥3 comparable concerts, else flat fallback of 55</t>
        </is>
      </c>
    </row>
    <row r="27" ht="30" customHeight="1">
      <c r="A27" s="5" t="inlineStr">
        <is>
          <t>Seasonal Trends</t>
        </is>
      </c>
      <c r="B27" s="5" t="inlineStr">
        <is>
          <t>Demand</t>
        </is>
      </c>
      <c r="C27" s="6" t="inlineStr">
        <is>
          <t>✅</t>
        </is>
      </c>
      <c r="D27" s="5" t="inlineStr">
        <is>
          <t>Derived</t>
        </is>
      </c>
      <c r="E27" s="5" t="inlineStr">
        <is>
          <t>n/a (computed)</t>
        </is>
      </c>
      <c r="F27" s="5" t="inlineStr">
        <is>
          <t>featureEngineering.service.ts</t>
        </is>
      </c>
      <c r="G27" s="5" t="inlineStr">
        <is>
          <t>Hardcoded month-boost map, pure function of event date</t>
        </is>
      </c>
    </row>
    <row r="28" ht="30" customHeight="1">
      <c r="A28" s="5" t="inlineStr">
        <is>
          <t>Engagement Velocity</t>
        </is>
      </c>
      <c r="B28" s="5" t="inlineStr">
        <is>
          <t>Demand</t>
        </is>
      </c>
      <c r="C28" s="6" t="inlineStr">
        <is>
          <t>✅</t>
        </is>
      </c>
      <c r="D28" s="5" t="inlineStr">
        <is>
          <t>Platform Metrics</t>
        </is>
      </c>
      <c r="E28" s="5" t="inlineStr">
        <is>
          <t>platform_metrics.likes / comments / shares / streams</t>
        </is>
      </c>
      <c r="F28" s="5" t="inlineStr">
        <is>
          <t>featureEngineering.service.ts</t>
        </is>
      </c>
      <c r="G28" s="5" t="inlineStr"/>
    </row>
    <row r="29" ht="30" customHeight="1">
      <c r="A29" s="5" t="inlineStr">
        <is>
          <t>Festival Flag</t>
        </is>
      </c>
      <c r="B29" s="5" t="inlineStr">
        <is>
          <t>Demand</t>
        </is>
      </c>
      <c r="C29" s="6" t="inlineStr">
        <is>
          <t>❌</t>
        </is>
      </c>
      <c r="D29" s="5" t="inlineStr">
        <is>
          <t>Derived</t>
        </is>
      </c>
      <c r="E29" s="5" t="inlineStr">
        <is>
          <t>none</t>
        </is>
      </c>
      <c r="F29" s="5" t="inlineStr">
        <is>
          <t>none</t>
        </is>
      </c>
      <c r="G29" s="5" t="inlineStr">
        <is>
          <t>Not implemented anywhere in the codebase</t>
        </is>
      </c>
    </row>
    <row r="30" ht="30" customHeight="1">
      <c r="A30" s="5" t="inlineStr">
        <is>
          <t>Weekend Flag</t>
        </is>
      </c>
      <c r="B30" s="5" t="inlineStr">
        <is>
          <t>Demand / Revenue</t>
        </is>
      </c>
      <c r="C30" s="6" t="inlineStr">
        <is>
          <t>✅</t>
        </is>
      </c>
      <c r="D30" s="5" t="inlineStr">
        <is>
          <t>Derived</t>
        </is>
      </c>
      <c r="E30" s="5" t="inlineStr">
        <is>
          <t>n/a (computed)</t>
        </is>
      </c>
      <c r="F30" s="5" t="inlineStr">
        <is>
          <t>featureEngineering.service.ts</t>
        </is>
      </c>
      <c r="G30" s="5" t="inlineStr"/>
    </row>
    <row r="31" ht="30" customHeight="1">
      <c r="A31" s="5" t="inlineStr">
        <is>
          <t>Days Until Event</t>
        </is>
      </c>
      <c r="B31" s="5" t="inlineStr">
        <is>
          <t>Demand / Revenue</t>
        </is>
      </c>
      <c r="C31" s="6" t="inlineStr">
        <is>
          <t>✅</t>
        </is>
      </c>
      <c r="D31" s="5" t="inlineStr">
        <is>
          <t>Derived</t>
        </is>
      </c>
      <c r="E31" s="5" t="inlineStr">
        <is>
          <t>n/a (computed)</t>
        </is>
      </c>
      <c r="F31" s="5" t="inlineStr">
        <is>
          <t>featureEngineering.service.ts</t>
        </is>
      </c>
      <c r="G31" s="5" t="inlineStr"/>
    </row>
    <row r="32" ht="30" customHeight="1">
      <c r="A32" s="5" t="inlineStr">
        <is>
          <t>Venue Capacity</t>
        </is>
      </c>
      <c r="B32" s="5" t="inlineStr">
        <is>
          <t>Revenue</t>
        </is>
      </c>
      <c r="C32" s="6" t="inlineStr">
        <is>
          <t>⚠️ Partial</t>
        </is>
      </c>
      <c r="D32" s="5" t="inlineStr">
        <is>
          <t>Venue</t>
        </is>
      </c>
      <c r="E32" s="5" t="inlineStr">
        <is>
          <t>venues.avgCapacity / capacityMax / capacityMin</t>
        </is>
      </c>
      <c r="F32" s="5" t="inlineStr">
        <is>
          <t>featureEngineering.service.ts</t>
        </is>
      </c>
      <c r="G32" s="5" t="inlineStr">
        <is>
          <t>Falls back to a flat 5,000 if no venue match found</t>
        </is>
      </c>
    </row>
    <row r="33" ht="30" customHeight="1">
      <c r="A33" s="5" t="inlineStr">
        <is>
          <t>Avg Ticket Price</t>
        </is>
      </c>
      <c r="B33" s="5" t="inlineStr">
        <is>
          <t>Revenue</t>
        </is>
      </c>
      <c r="C33" s="6" t="inlineStr">
        <is>
          <t>⚠️ Partial</t>
        </is>
      </c>
      <c r="D33" s="5" t="inlineStr">
        <is>
          <t>Concerts / District</t>
        </is>
      </c>
      <c r="E33" s="5" t="inlineStr">
        <is>
          <t>concerts.avgTicketPrice</t>
        </is>
      </c>
      <c r="F33" s="5" t="inlineStr">
        <is>
          <t>featureEngineering.service.ts</t>
        </is>
      </c>
      <c r="G33" s="5" t="inlineStr">
        <is>
          <t>Falls back to currency-based flat default (₹1,250 or $45) if no comparable concerts</t>
        </is>
      </c>
    </row>
    <row r="34" ht="30" customHeight="1">
      <c r="A34" s="5" t="inlineStr">
        <is>
          <t>Sellout Probability</t>
        </is>
      </c>
      <c r="B34" s="5" t="inlineStr">
        <is>
          <t>Revenue</t>
        </is>
      </c>
      <c r="C34" s="6" t="inlineStr">
        <is>
          <t>✅</t>
        </is>
      </c>
      <c r="D34" s="5" t="inlineStr">
        <is>
          <t>Derived</t>
        </is>
      </c>
      <c r="E34" s="5" t="inlineStr">
        <is>
          <t>prediction_outputs.selloutProbability</t>
        </is>
      </c>
      <c r="F34" s="5" t="inlineStr">
        <is>
          <t>revenuePrediction.service.ts</t>
        </is>
      </c>
      <c r="G34" s="5" t="inlineStr"/>
    </row>
    <row r="35" ht="30" customHeight="1">
      <c r="A35" s="5" t="inlineStr">
        <is>
          <t>Expected Attendance</t>
        </is>
      </c>
      <c r="B35" s="5" t="inlineStr">
        <is>
          <t>Revenue</t>
        </is>
      </c>
      <c r="C35" s="6" t="inlineStr">
        <is>
          <t>✅</t>
        </is>
      </c>
      <c r="D35" s="5" t="inlineStr">
        <is>
          <t>Derived</t>
        </is>
      </c>
      <c r="E35" s="5" t="inlineStr">
        <is>
          <t>prediction_outputs.expectedAttendance</t>
        </is>
      </c>
      <c r="F35" s="5" t="inlineStr">
        <is>
          <t>revenuePrediction.service.ts</t>
        </is>
      </c>
      <c r="G35" s="5" t="inlineStr"/>
    </row>
    <row r="36" ht="30" customHeight="1">
      <c r="A36" s="5" t="inlineStr">
        <is>
          <t>Expected Revenue</t>
        </is>
      </c>
      <c r="B36" s="5" t="inlineStr">
        <is>
          <t>Revenue</t>
        </is>
      </c>
      <c r="C36" s="6" t="inlineStr">
        <is>
          <t>✅</t>
        </is>
      </c>
      <c r="D36" s="5" t="inlineStr">
        <is>
          <t>Derived</t>
        </is>
      </c>
      <c r="E36" s="5" t="inlineStr">
        <is>
          <t>prediction_outputs.expectedRevenue</t>
        </is>
      </c>
      <c r="F36" s="5" t="inlineStr">
        <is>
          <t>revenuePrediction.service.ts</t>
        </is>
      </c>
      <c r="G36" s="5" t="inlineStr"/>
    </row>
    <row r="37" ht="30" customHeight="1">
      <c r="A37" s="5" t="inlineStr">
        <is>
          <t>Historical Total Revenue (ground truth)</t>
        </is>
      </c>
      <c r="B37" s="5" t="inlineStr">
        <is>
          <t>Revenue</t>
        </is>
      </c>
      <c r="C37" s="6" t="inlineStr">
        <is>
          <t>✅</t>
        </is>
      </c>
      <c r="D37" s="5" t="inlineStr">
        <is>
          <t>Concerts</t>
        </is>
      </c>
      <c r="E37" s="5" t="inlineStr">
        <is>
          <t>concerts.totalRevenue</t>
        </is>
      </c>
      <c r="F37" s="5" t="inlineStr">
        <is>
          <t>revenuePrediction.service.ts</t>
        </is>
      </c>
      <c r="G37" s="5" t="inlineStr">
        <is>
          <t>Used for training-data accuracy calc; only set for concerts with a concertId</t>
        </is>
      </c>
    </row>
    <row r="38" ht="30" customHeight="1">
      <c r="A38" s="5" t="inlineStr">
        <is>
          <t>Historical Tickets Sold (ground truth)</t>
        </is>
      </c>
      <c r="B38" s="5" t="inlineStr">
        <is>
          <t>Revenue</t>
        </is>
      </c>
      <c r="C38" s="6" t="inlineStr">
        <is>
          <t>✅</t>
        </is>
      </c>
      <c r="D38" s="5" t="inlineStr">
        <is>
          <t>Concerts</t>
        </is>
      </c>
      <c r="E38" s="5" t="inlineStr">
        <is>
          <t>concerts.ticketsSold</t>
        </is>
      </c>
      <c r="F38" s="5" t="inlineStr">
        <is>
          <t>revenuePrediction.service.ts</t>
        </is>
      </c>
      <c r="G38" s="5" t="inlineStr"/>
    </row>
    <row r="39" ht="30" customHeight="1">
      <c r="A39" s="5" t="inlineStr">
        <is>
          <t>External ML Revenue Model Output</t>
        </is>
      </c>
      <c r="B39" s="5" t="inlineStr">
        <is>
          <t>Revenue</t>
        </is>
      </c>
      <c r="C39" s="6" t="inlineStr">
        <is>
          <t>❌ External API</t>
        </is>
      </c>
      <c r="D39" s="5" t="inlineStr">
        <is>
          <t>Python ml_engine</t>
        </is>
      </c>
      <c r="E39" s="5" t="inlineStr">
        <is>
          <t>none</t>
        </is>
      </c>
      <c r="F39" s="5" t="inlineStr">
        <is>
          <t>madAnalytics.service.ts / concertPipeline.service.ts</t>
        </is>
      </c>
      <c r="G39" s="5" t="inlineStr">
        <is>
          <t>Requires ANALYTICS_URL (localhost:8001) running as a separate process — not verified live in this audit</t>
        </is>
      </c>
    </row>
    <row r="40" ht="30" customHeight="1">
      <c r="A40" s="5" t="inlineStr">
        <is>
          <t>Ticket Price Min/Max</t>
        </is>
      </c>
      <c r="B40" s="5" t="inlineStr">
        <is>
          <t>Revenue</t>
        </is>
      </c>
      <c r="C40" s="6" t="inlineStr">
        <is>
          <t>✅</t>
        </is>
      </c>
      <c r="D40" s="5" t="inlineStr">
        <is>
          <t>Venue</t>
        </is>
      </c>
      <c r="E40" s="5" t="inlineStr">
        <is>
          <t>venues.ticketPriceMin / ticketPriceMax</t>
        </is>
      </c>
      <c r="F40" s="5" t="inlineStr">
        <is>
          <t>venue research flow</t>
        </is>
      </c>
      <c r="G40" s="5" t="inlineStr"/>
    </row>
    <row r="41" ht="30" customHeight="1">
      <c r="A41" s="5" t="inlineStr">
        <is>
          <t>Trusted Source Flag</t>
        </is>
      </c>
      <c r="B41" s="5" t="inlineStr">
        <is>
          <t>Risk</t>
        </is>
      </c>
      <c r="C41" s="6" t="inlineStr">
        <is>
          <t>✅</t>
        </is>
      </c>
      <c r="D41" s="5" t="inlineStr">
        <is>
          <t>Derived (hardcoded allowlist)</t>
        </is>
      </c>
      <c r="E41" s="5" t="inlineStr">
        <is>
          <t>none</t>
        </is>
      </c>
      <c r="F41" s="5" t="inlineStr">
        <is>
          <t>hybridValidation.service.ts</t>
        </is>
      </c>
      <c r="G41" s="5" t="inlineStr">
        <is>
          <t>Static TRUSTED_SOURCES set + domain list</t>
        </is>
      </c>
    </row>
    <row r="42" ht="30" customHeight="1">
      <c r="A42" s="5" t="inlineStr">
        <is>
          <t>Official Ticket URL Present</t>
        </is>
      </c>
      <c r="B42" s="5" t="inlineStr">
        <is>
          <t>Risk / Confidence</t>
        </is>
      </c>
      <c r="C42" s="6" t="inlineStr">
        <is>
          <t>⚠️ Partial</t>
        </is>
      </c>
      <c r="D42" s="5" t="inlineStr">
        <is>
          <t>Derived</t>
        </is>
      </c>
      <c r="E42" s="5" t="inlineStr">
        <is>
          <t>canonical_events.sourceUrl</t>
        </is>
      </c>
      <c r="F42" s="5" t="inlineStr">
        <is>
          <t>hybridValidation.service.ts</t>
        </is>
      </c>
      <c r="G42" s="5" t="inlineStr">
        <is>
          <t>official_ticket_url field exists but no scraper mapper (BookMyShow/District) ever sets it</t>
        </is>
      </c>
    </row>
    <row r="43" ht="30" customHeight="1">
      <c r="A43" s="5" t="inlineStr">
        <is>
          <t>Venue Exists</t>
        </is>
      </c>
      <c r="B43" s="5" t="inlineStr">
        <is>
          <t>Risk / Confidence</t>
        </is>
      </c>
      <c r="C43" s="6" t="inlineStr">
        <is>
          <t>✅</t>
        </is>
      </c>
      <c r="D43" s="5" t="inlineStr">
        <is>
          <t>Venue</t>
        </is>
      </c>
      <c r="E43" s="5" t="inlineStr">
        <is>
          <t>venues (lookup)</t>
        </is>
      </c>
      <c r="F43" s="5" t="inlineStr">
        <is>
          <t>hybridValidation.service.ts</t>
        </is>
      </c>
      <c r="G43" s="5" t="inlineStr"/>
    </row>
    <row r="44" ht="30" customHeight="1">
      <c r="A44" s="5" t="inlineStr">
        <is>
          <t>Verified Artist Account</t>
        </is>
      </c>
      <c r="B44" s="5" t="inlineStr">
        <is>
          <t>Risk / Confidence</t>
        </is>
      </c>
      <c r="C44" s="6" t="inlineStr">
        <is>
          <t>⚠️ Partial</t>
        </is>
      </c>
      <c r="D44" s="5" t="inlineStr">
        <is>
          <t>Derived</t>
        </is>
      </c>
      <c r="E44" s="5" t="inlineStr">
        <is>
          <t>none populated</t>
        </is>
      </c>
      <c r="F44" s="5" t="inlineStr">
        <is>
          <t>hybridValidation.service.ts</t>
        </is>
      </c>
      <c r="G44" s="5" t="inlineStr">
        <is>
          <t>Field exists on RawConcertEvent but no scraper mapper populates it</t>
        </is>
      </c>
    </row>
    <row r="45" ht="30" customHeight="1">
      <c r="A45" s="5" t="inlineStr">
        <is>
          <t>Multiple Source Confirmations</t>
        </is>
      </c>
      <c r="B45" s="5" t="inlineStr">
        <is>
          <t>Risk / Confidence</t>
        </is>
      </c>
      <c r="C45" s="6" t="inlineStr">
        <is>
          <t>✅</t>
        </is>
      </c>
      <c r="D45" s="5" t="inlineStr">
        <is>
          <t>Database</t>
        </is>
      </c>
      <c r="E45" s="5" t="inlineStr">
        <is>
          <t>source_event_references (count by canonicalEventId)</t>
        </is>
      </c>
      <c r="F45" s="5" t="inlineStr">
        <is>
          <t>hybridValidation.service.ts</t>
        </is>
      </c>
      <c r="G45" s="5" t="inlineStr"/>
    </row>
    <row r="46" ht="30" customHeight="1">
      <c r="A46" s="5" t="inlineStr">
        <is>
          <t>Duplicate Detected Flag</t>
        </is>
      </c>
      <c r="B46" s="5" t="inlineStr">
        <is>
          <t>Risk / Confidence</t>
        </is>
      </c>
      <c r="C46" s="6" t="inlineStr">
        <is>
          <t>✅</t>
        </is>
      </c>
      <c r="D46" s="5" t="inlineStr">
        <is>
          <t>Derived</t>
        </is>
      </c>
      <c r="E46" s="5" t="inlineStr">
        <is>
          <t>n/a (computed)</t>
        </is>
      </c>
      <c r="F46" s="5" t="inlineStr">
        <is>
          <t>duplicateDetection.service.ts</t>
        </is>
      </c>
      <c r="G46" s="5" t="inlineStr"/>
    </row>
    <row r="47" ht="30" customHeight="1">
      <c r="A47" s="5" t="inlineStr">
        <is>
          <t>Artist / Portfolio Risk Score</t>
        </is>
      </c>
      <c r="B47" s="5" t="inlineStr">
        <is>
          <t>Risk</t>
        </is>
      </c>
      <c r="C47" s="6" t="inlineStr">
        <is>
          <t>❌</t>
        </is>
      </c>
      <c r="D47" s="5" t="inlineStr">
        <is>
          <t>Derived</t>
        </is>
      </c>
      <c r="E47" s="5" t="inlineStr">
        <is>
          <t>none</t>
        </is>
      </c>
      <c r="F47" s="5" t="inlineStr">
        <is>
          <t>none</t>
        </is>
      </c>
      <c r="G47" s="5" t="inlineStr">
        <is>
          <t>No such concept exists distinct from event-level fraud risk — needs spec clarification</t>
        </is>
      </c>
    </row>
    <row r="48" ht="30" customHeight="1">
      <c r="A48" s="5" t="inlineStr">
        <is>
          <t>Fraud Risk Score (event-level)</t>
        </is>
      </c>
      <c r="B48" s="5" t="inlineStr">
        <is>
          <t>Risk</t>
        </is>
      </c>
      <c r="C48" s="6" t="inlineStr">
        <is>
          <t>✅</t>
        </is>
      </c>
      <c r="D48" s="5" t="inlineStr">
        <is>
          <t>Derived</t>
        </is>
      </c>
      <c r="E48" s="5" t="inlineStr">
        <is>
          <t>canonical_events.fraudRiskScore, validation_logs.fraudRiskScore</t>
        </is>
      </c>
      <c r="F48" s="5" t="inlineStr">
        <is>
          <t>hybridValidation.service.ts</t>
        </is>
      </c>
      <c r="G48" s="5" t="inlineStr"/>
    </row>
    <row r="49" ht="30" customHeight="1">
      <c r="A49" s="5" t="inlineStr">
        <is>
          <t>Extraction Confidence Score</t>
        </is>
      </c>
      <c r="B49" s="5" t="inlineStr">
        <is>
          <t>Confidence</t>
        </is>
      </c>
      <c r="C49" s="6" t="inlineStr">
        <is>
          <t>✅</t>
        </is>
      </c>
      <c r="D49" s="5" t="inlineStr">
        <is>
          <t>Derived (scraper heuristic)</t>
        </is>
      </c>
      <c r="E49" s="5" t="inlineStr">
        <is>
          <t>canonical_events.confidenceScore</t>
        </is>
      </c>
      <c r="F49" s="5" t="inlineStr">
        <is>
          <t>bookmyshow/mapper.ts, district/mapper.ts, eventNormalization.service.ts</t>
        </is>
      </c>
      <c r="G49" s="5" t="inlineStr">
        <is>
          <t>Flat 0.8 / 0.5 heuristic based on a single artist-name string match</t>
        </is>
      </c>
    </row>
    <row r="50" ht="30" customHeight="1">
      <c r="A50" s="5" t="inlineStr">
        <is>
          <t>Field Completeness</t>
        </is>
      </c>
      <c r="B50" s="5" t="inlineStr">
        <is>
          <t>Confidence</t>
        </is>
      </c>
      <c r="C50" s="6" t="inlineStr">
        <is>
          <t>✅</t>
        </is>
      </c>
      <c r="D50" s="5" t="inlineStr">
        <is>
          <t>Derived</t>
        </is>
      </c>
      <c r="E50" s="5" t="inlineStr">
        <is>
          <t>n/a (computed)</t>
        </is>
      </c>
      <c r="F50" s="5" t="inlineStr">
        <is>
          <t>hybridValidation.service.ts</t>
        </is>
      </c>
      <c r="G50" s="5" t="inlineStr">
        <is>
          <t>6-field presence check (artist, venue, city, country, date, source URL)</t>
        </is>
      </c>
    </row>
    <row r="51" ht="30" customHeight="1">
      <c r="A51" s="5" t="inlineStr">
        <is>
          <t>Confidence Score (final)</t>
        </is>
      </c>
      <c r="B51" s="5" t="inlineStr">
        <is>
          <t>Confidence</t>
        </is>
      </c>
      <c r="C51" s="6" t="inlineStr">
        <is>
          <t>✅</t>
        </is>
      </c>
      <c r="D51" s="5" t="inlineStr">
        <is>
          <t>Derived</t>
        </is>
      </c>
      <c r="E51" s="5" t="inlineStr">
        <is>
          <t>canonical_events.confidenceScore, validation_logs.confidenceScore, source_event_references.confidenceScore</t>
        </is>
      </c>
      <c r="F51" s="5" t="inlineStr">
        <is>
          <t>hybridValidation.service.ts</t>
        </is>
      </c>
      <c r="G51" s="5" t="inlineStr"/>
    </row>
  </sheetData>
  <mergeCells count="2">
    <mergeCell ref="A3:G3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Status Summary</t>
        </is>
      </c>
    </row>
    <row r="3">
      <c r="A3" s="7" t="inlineStr">
        <is>
          <t>Status</t>
        </is>
      </c>
      <c r="B3" s="7" t="inlineStr">
        <is>
          <t>Count</t>
        </is>
      </c>
    </row>
    <row r="4">
      <c r="A4" s="8" t="inlineStr">
        <is>
          <t>Available (✅)</t>
        </is>
      </c>
      <c r="B4" s="9">
        <f>COUNTIF('Variable Inventory'!$C$6:$C$51,"✅")</f>
        <v/>
      </c>
    </row>
    <row r="5">
      <c r="A5" s="8" t="inlineStr">
        <is>
          <t>Partial (⚠️ Partial)</t>
        </is>
      </c>
      <c r="B5" s="9">
        <f>COUNTIF('Variable Inventory'!$C$6:$C$51,"⚠️ Partial")</f>
        <v/>
      </c>
    </row>
    <row r="6">
      <c r="A6" s="8" t="inlineStr">
        <is>
          <t>Missing (❌)</t>
        </is>
      </c>
      <c r="B6" s="9">
        <f>COUNTIF('Variable Inventory'!$C$6:$C$51,"❌")</f>
        <v/>
      </c>
    </row>
    <row r="7">
      <c r="A7" s="8" t="inlineStr">
        <is>
          <t>Needs External API (❌ External API)</t>
        </is>
      </c>
      <c r="B7" s="9">
        <f>COUNTIF('Variable Inventory'!$C$6:$C$51,"❌ External API")</f>
        <v/>
      </c>
    </row>
    <row r="8">
      <c r="A8" s="10" t="inlineStr">
        <is>
          <t>Total variables</t>
        </is>
      </c>
      <c r="B8" s="11">
        <f>SUM(B4:B7)</f>
        <v/>
      </c>
    </row>
    <row r="10" ht="30" customHeight="1">
      <c r="A10" s="2" t="inlineStr">
        <is>
          <t>Counts are formula-driven (COUNTIF against the Variable Inventory sheet) — edit/add rows on that sheet and this summary recalculates.</t>
        </is>
      </c>
    </row>
  </sheetData>
  <mergeCells count="2">
    <mergeCell ref="A10:D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2026-07-21T09:48:39Z</dcterms:created>
  <dcterms:modified xmlns:dcterms="http://purl.org/dc/terms/" xmlns:xsi="http://www.w3.org/2001/XMLSchema-instance" xsi:type="dcterms:W3CDTF">2026-07-21T09:48:39Z</dcterms:modified>
</cp:coreProperties>
</file>